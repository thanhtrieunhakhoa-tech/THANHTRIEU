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D:\NHA KHOA THANH TRIỀU\Bảng giá Thanh Triều\"/>
    </mc:Choice>
  </mc:AlternateContent>
  <xr:revisionPtr revIDLastSave="0" documentId="8_{77D3F6AC-C785-4C08-A8A7-B6A0BD29F154}" xr6:coauthVersionLast="45" xr6:coauthVersionMax="45" xr10:uidLastSave="{00000000-0000-0000-0000-000000000000}"/>
  <bookViews>
    <workbookView xWindow="2268" yWindow="2268" windowWidth="17280" windowHeight="8964" activeTab="5" xr2:uid="{00000000-000D-0000-FFFF-FFFF00000000}"/>
  </bookViews>
  <sheets>
    <sheet name="Worksheet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5" i="7" l="1"/>
</calcChain>
</file>

<file path=xl/sharedStrings.xml><?xml version="1.0" encoding="utf-8"?>
<sst xmlns="http://schemas.openxmlformats.org/spreadsheetml/2006/main" count="374" uniqueCount="273">
  <si>
    <t>Dịch Vụ</t>
  </si>
  <si>
    <t>Giá</t>
  </si>
  <si>
    <t>Cạo vôi răng + Đánh bóng răng</t>
  </si>
  <si>
    <t>100.000 - 300.000/2 Hàm</t>
  </si>
  <si>
    <t>Điều trị nha chu</t>
  </si>
  <si>
    <t>300.000 - 500.000/2 Hàm</t>
  </si>
  <si>
    <t>Cạo vôi bằng máy thổi cát vi hạt muối khoáng (không ê)</t>
  </si>
  <si>
    <t>500.000 -1.000.000/2 Hàm</t>
  </si>
  <si>
    <t>Điều trị viêm nướu (Thuốc + Vệ Sinh 2 lần bằng máy thổi cát)</t>
  </si>
  <si>
    <t>1.000.000/2 Hàm</t>
  </si>
  <si>
    <t>Cùi giả sứ</t>
  </si>
  <si>
    <t>1.000.000/Răng</t>
  </si>
  <si>
    <t>Cùi kim loại</t>
  </si>
  <si>
    <t>300.000/Răng</t>
  </si>
  <si>
    <t>Chốt sợi</t>
  </si>
  <si>
    <t>500.000/Chốt</t>
  </si>
  <si>
    <t>Điều trị cắt thắng môi</t>
  </si>
  <si>
    <t>Điều trị cắt nướu gọt xương</t>
  </si>
  <si>
    <t>1.000.000</t>
  </si>
  <si>
    <t>Cắt nướu đơn thuần</t>
  </si>
  <si>
    <t>Phẫu thuật nạo nang + Ghép xương</t>
  </si>
  <si>
    <t>5.000.000/Răng</t>
  </si>
  <si>
    <t>Chốt vặn + Trám</t>
  </si>
  <si>
    <t>500.000/Răng</t>
  </si>
  <si>
    <t>Nhổ răng sữa</t>
  </si>
  <si>
    <t>30.000/răng - 50.000/tê</t>
  </si>
  <si>
    <t>Nhổ răng hàm tùy mức độ</t>
  </si>
  <si>
    <t>Nhổ răng khôn tiểu phẫu</t>
  </si>
  <si>
    <t>Nhổ tiểu phẫu + PRF</t>
  </si>
  <si>
    <t>+500.000/răng</t>
  </si>
  <si>
    <t>Trám răng cối sâu nhỏ + sâu lớn</t>
  </si>
  <si>
    <t>100.000 - 200.000/răng</t>
  </si>
  <si>
    <t>Trám răng cửa Trám răng cửa thẩm mỹ (Bh 1-3 năm)</t>
  </si>
  <si>
    <t>300.000 - 500.000/răng</t>
  </si>
  <si>
    <t>Trám răng sữa ( Sâu lớn Sâu nhỏ )</t>
  </si>
  <si>
    <t>70.000 - 100.000/răng</t>
  </si>
  <si>
    <t>Trám răng Composite Sofu Nhật ( Bh 3 năm )</t>
  </si>
  <si>
    <t>200.000/răng</t>
  </si>
  <si>
    <t>Đấp răng khểnh</t>
  </si>
  <si>
    <t>500.000/răng</t>
  </si>
  <si>
    <t>Tẩy trắng răng tại nhà (1 ống thuốc + máng tẩy)</t>
  </si>
  <si>
    <t>Tẩy trắng răng tại ghế nha</t>
  </si>
  <si>
    <t>Tẩy trắng răng VIP ( Mỹ )</t>
  </si>
  <si>
    <t>1.500.000</t>
  </si>
  <si>
    <t>(Có Tẩy Trắng Tại Nhà +500k)</t>
  </si>
  <si>
    <t>Hột xoàn</t>
  </si>
  <si>
    <t>300.000/răng</t>
  </si>
  <si>
    <t>Công đính hột xoàn</t>
  </si>
  <si>
    <t>Nội nha răng cửa</t>
  </si>
  <si>
    <t>Nội nha răng cối nhỏ</t>
  </si>
  <si>
    <t>Nội nha răng cối lớn</t>
  </si>
  <si>
    <t>1.000.000/răng</t>
  </si>
  <si>
    <t>Nội nha MTA (Sealer)</t>
  </si>
  <si>
    <t>+500.000 - 800.000/răng</t>
  </si>
  <si>
    <t>Nội nha răng sữa “răng cửa + răng cối” (đã bao gồm trám)</t>
  </si>
  <si>
    <t>Nội nha lại</t>
  </si>
  <si>
    <t>Mão chụp Inox</t>
  </si>
  <si>
    <t>Kỹ Thuật Cấy</t>
  </si>
  <si>
    <t>Hàm Tạm Nhựa</t>
  </si>
  <si>
    <t>Hàm Sứ</t>
  </si>
  <si>
    <t>Bảo Hành</t>
  </si>
  <si>
    <t>Liên kết bar tháo lắp  Dùng cho hàm dưới  (2 Implant + 14 Răng nhựa cường lực)</t>
  </si>
  <si>
    <t>45.000.000</t>
  </si>
  <si>
    <t>1tr/răng</t>
  </si>
  <si>
    <t>Trụ implant+Bar: 1 năm  Hàm nhựa: 1 năm  Hàm sứ: 3 năm  Ron: 1tr/ bộ</t>
  </si>
  <si>
    <t>All-On-4  (4 Implant + 12 Răng)</t>
  </si>
  <si>
    <t>129.000.000</t>
  </si>
  <si>
    <t>All-On-6  (6 Implant + 14 Răng)</t>
  </si>
  <si>
    <t>99.000.000</t>
  </si>
  <si>
    <t>All-On-4 (Pháp)  (4 Implant + 12 Răng)</t>
  </si>
  <si>
    <t>169.000.000</t>
  </si>
  <si>
    <t>All-On-6 (Pháp)  (6 Implant + 14 Răng)</t>
  </si>
  <si>
    <t>229.000.000</t>
  </si>
  <si>
    <t>All-On-4 Straumann  (4 Implant + 12 Răng)</t>
  </si>
  <si>
    <t>149.000.000</t>
  </si>
  <si>
    <t>All-On-6 Straumann  (6 Implant + 14 Răng)</t>
  </si>
  <si>
    <t>Thanh bar trên Implant (CAD/CAM) +12/14 răng nhựa cường lực</t>
  </si>
  <si>
    <t>Thanh bar trên Implant (CAD/CAM) +12/14 răng sứ</t>
  </si>
  <si>
    <t>BẢNG GIÁ</t>
  </si>
  <si>
    <t>DỊCH VỤ IMPLANT</t>
  </si>
  <si>
    <t>Dòng Implant</t>
  </si>
  <si>
    <t>Giá Trụ</t>
  </si>
  <si>
    <t>Giá có răng KL</t>
  </si>
  <si>
    <t>Giá có Sứ Zirconia (Đã bao gồm Abutment)</t>
  </si>
  <si>
    <t>Bảo Hành Trụ</t>
  </si>
  <si>
    <t>DIO Navi (Hàn Quốc)</t>
  </si>
  <si>
    <t>10.000.000</t>
  </si>
  <si>
    <t>3 năm</t>
  </si>
  <si>
    <t>Ossteo Bionics (Hàn Quốc)</t>
  </si>
  <si>
    <t>Osstem (Hàn Quốc)</t>
  </si>
  <si>
    <t>Giá trụ tặng răng KL</t>
  </si>
  <si>
    <t>Hiossen (Mỹ)</t>
  </si>
  <si>
    <t>15.000.000</t>
  </si>
  <si>
    <t>17.000.000</t>
  </si>
  <si>
    <t>7 năm</t>
  </si>
  <si>
    <t>Neodent (Brazil)</t>
  </si>
  <si>
    <t>18.000.000</t>
  </si>
  <si>
    <t>20.000.000</t>
  </si>
  <si>
    <t>10 năm</t>
  </si>
  <si>
    <t>Giá Trụ Có Răng KL</t>
  </si>
  <si>
    <t>Kontact (Pháp)</t>
  </si>
  <si>
    <t>12 năm</t>
  </si>
  <si>
    <t>Straumann (Thụy Sĩ)</t>
  </si>
  <si>
    <t>30.000.000</t>
  </si>
  <si>
    <t>Loại Abutment (khớp nối)</t>
  </si>
  <si>
    <t>DỊCH VỤ</t>
  </si>
  <si>
    <t>CHI PHÍ</t>
  </si>
  <si>
    <t>Abutment Titanium</t>
  </si>
  <si>
    <t>3tr/ Abutment (đã tính vào giá răng sứ )</t>
  </si>
  <si>
    <t>Máng hướng dẫn phẫu thuật</t>
  </si>
  <si>
    <t>1tr/ trụ</t>
  </si>
  <si>
    <t>Cùi Zirconia trên Implant (Abutment Zirco)</t>
  </si>
  <si>
    <t>Ghép xương ít/nhiều</t>
  </si>
  <si>
    <t>5tr - 10tr/ răng</t>
  </si>
  <si>
    <t>Multi - unit Abutment (từ 3 trụ trở lên)</t>
  </si>
  <si>
    <t>3tr/ Multi</t>
  </si>
  <si>
    <t>Nâng xoang kín</t>
  </si>
  <si>
    <t>5tr/ răng</t>
  </si>
  <si>
    <t>Thanh bar</t>
  </si>
  <si>
    <t>5tr/ Đơn vị</t>
  </si>
  <si>
    <t>Nâng xoang hở + ghép xương</t>
  </si>
  <si>
    <t>10tr/ răng</t>
  </si>
  <si>
    <t>1 Răng Zirconia (sứ đa lớp)</t>
  </si>
  <si>
    <t>5tr/ Răng</t>
  </si>
  <si>
    <t>Nong xương/chẻ xương + ghép xương</t>
  </si>
  <si>
    <t>Ghép mô liên kết (Ghép nướu rời)</t>
  </si>
  <si>
    <t>4tr/ răng</t>
  </si>
  <si>
    <t>---</t>
  </si>
  <si>
    <t>RĂNG SỨ UP DATE</t>
  </si>
  <si>
    <t>RĂNG SỨ THẨM MỸ UPGRATE</t>
  </si>
  <si>
    <t>DÒNG SỨ</t>
  </si>
  <si>
    <t>GIÁ</t>
  </si>
  <si>
    <t>BẢO HÀNH</t>
  </si>
  <si>
    <t>Răng sứ Orodent EOS (Ý)</t>
  </si>
  <si>
    <t>Vĩnh viễn</t>
  </si>
  <si>
    <t>Răng sứ Orodent Beach (Ý)</t>
  </si>
  <si>
    <t>20 Năm</t>
  </si>
  <si>
    <t>RĂNG SỨ THẨM MỸ CAO CẤP</t>
  </si>
  <si>
    <t>Răng sứ Lava Plus (Mỹ)</t>
  </si>
  <si>
    <t>6.000.000</t>
  </si>
  <si>
    <t>15 Năm</t>
  </si>
  <si>
    <t>Răng Adite 3D Pro - Zir (Mỹ)</t>
  </si>
  <si>
    <t>5.000.000</t>
  </si>
  <si>
    <t>10 Năm</t>
  </si>
  <si>
    <t>Răng sứ Cercon (Đức)</t>
  </si>
  <si>
    <t>4.000.000</t>
  </si>
  <si>
    <t>Răng sứ DDBIO Sứ Aidite Azir ( Đa lớp )</t>
  </si>
  <si>
    <t>3.000.000</t>
  </si>
  <si>
    <t>7 Năm</t>
  </si>
  <si>
    <t>Răng sứ Zirconia (Hàn Quốc)</t>
  </si>
  <si>
    <t>2.000.000</t>
  </si>
  <si>
    <t>5 Năm</t>
  </si>
  <si>
    <t>PHỤC HÌNH DÁN SỨ</t>
  </si>
  <si>
    <t>Veneer Lisi Press Thủy Tinh</t>
  </si>
  <si>
    <t>Veneer Nonprep Emax Overlay</t>
  </si>
  <si>
    <t>Veneer Inlay/Onlay</t>
  </si>
  <si>
    <t>DỊCH VỤ RĂNG SỨ</t>
  </si>
  <si>
    <t>RĂNG SỨ KIM LOẠI</t>
  </si>
  <si>
    <t>1 năm</t>
  </si>
  <si>
    <t>2 năm</t>
  </si>
  <si>
    <t>Răng sứ Titan</t>
  </si>
  <si>
    <t>DÒNG SỨ TRUNG CẤP</t>
  </si>
  <si>
    <t>RĂNG SỨ TOÀN SỨ</t>
  </si>
  <si>
    <t>Răng sứ Zirconia Hàn Quốc</t>
  </si>
  <si>
    <t>5 năm</t>
  </si>
  <si>
    <t>Răng sứ Zirconia DDBIO (Đức)</t>
  </si>
  <si>
    <t>DÒNG SỨ ĐA LỚP</t>
  </si>
  <si>
    <t>Răng sứ Aidite Azir (Full Contour Răng cối)</t>
  </si>
  <si>
    <t>Răng sứ Adite 3D Pro-Zir (Full Contour Răng cửa)</t>
  </si>
  <si>
    <t>DÒNG SỨ CAO CẤP</t>
  </si>
  <si>
    <t>Răng sứ Lava 3M Plus (Mỹ)</t>
  </si>
  <si>
    <t>15 năm</t>
  </si>
  <si>
    <t>Răng sứ Orodent Bleach (Ý)</t>
  </si>
  <si>
    <t>20 năm</t>
  </si>
  <si>
    <t>RĂNG SỨ DÁN</t>
  </si>
  <si>
    <t>PHÙ HỢP</t>
  </si>
  <si>
    <t>Vỡ nữa răng</t>
  </si>
  <si>
    <t>Overlay</t>
  </si>
  <si>
    <t>4.500.000</t>
  </si>
  <si>
    <t>Vỡ toàn bộ thân răng</t>
  </si>
  <si>
    <t>Veneer Nonprep</t>
  </si>
  <si>
    <t>Răng thưa</t>
  </si>
  <si>
    <t>Emax</t>
  </si>
  <si>
    <t>Thẩm mỹ</t>
  </si>
  <si>
    <t>Mặt dán sứ</t>
  </si>
  <si>
    <t>NHA KHOA THANH TRIỀU</t>
  </si>
  <si>
    <t>HOTLINE: 0902 555 455 - 0907 669 555</t>
  </si>
  <si>
    <t>ĐỊA CHỈ: SỐ 13 Nguyễn Văn Thảnh P Cái Vồn Tỉnh Vĩnh Long (Đối Diện Bệnh Viện Bình Minh)</t>
  </si>
  <si>
    <t>WEBSITE: nhakhoathanhtrieucom</t>
  </si>
  <si>
    <t>Loại Răng</t>
  </si>
  <si>
    <t>Răng nhựa Việt Nam</t>
  </si>
  <si>
    <t>200.000 đ/Răng</t>
  </si>
  <si>
    <t>Răng nhựa Nhật Bản</t>
  </si>
  <si>
    <t>Răng Composite</t>
  </si>
  <si>
    <t>Răng sứ Vita MFT</t>
  </si>
  <si>
    <t>12 Tháng</t>
  </si>
  <si>
    <t>1.000.000 đ/Răng</t>
  </si>
  <si>
    <t>Răng sứ cao cấp</t>
  </si>
  <si>
    <t>24 Tháng</t>
  </si>
  <si>
    <t>2.000.000 đ/Răng</t>
  </si>
  <si>
    <t>Hàm Khung Kim Loại II</t>
  </si>
  <si>
    <t>1.500.000 đ/Khung</t>
  </si>
  <si>
    <t>Hàm Khung Kim Loại I Vita (Cứng Chắc)</t>
  </si>
  <si>
    <t>2.000.000 đ/Khung</t>
  </si>
  <si>
    <t>Hàm Khung Titan cao cấp</t>
  </si>
  <si>
    <t>3.000.000 đ/Khung</t>
  </si>
  <si>
    <t>Hàm Khung Liên kết</t>
  </si>
  <si>
    <t>Mắc cài bị đứng ( Thường hàm 2 cái )</t>
  </si>
  <si>
    <t>4.000.000 đ/Cái</t>
  </si>
  <si>
    <t>Ép Nhựa Dẻo Ép nhựa cường lực</t>
  </si>
  <si>
    <t>1.500.000 đ/Hàm</t>
  </si>
  <si>
    <t>Mão chụp lồng</t>
  </si>
  <si>
    <t>Thay ron ( mắc cài bi )</t>
  </si>
  <si>
    <t>800.000 đ/Ron</t>
  </si>
  <si>
    <t>Lưới Việt Nam</t>
  </si>
  <si>
    <t>500.000 đ/Lưới</t>
  </si>
  <si>
    <t>Lưới Đức</t>
  </si>
  <si>
    <t>1.000.000 đ/Lưới</t>
  </si>
  <si>
    <t>Vá Hàm</t>
  </si>
  <si>
    <t>300.000 đ/Hàm</t>
  </si>
  <si>
    <t>Thay Nền Hàm</t>
  </si>
  <si>
    <t>1.000.000/Hàm</t>
  </si>
  <si>
    <t>Đệm Nền Hàm</t>
  </si>
  <si>
    <t>500.000 đ/Hàm</t>
  </si>
  <si>
    <t>Thêm móc</t>
  </si>
  <si>
    <t>300.000 đ/Móc</t>
  </si>
  <si>
    <t>Vệ sinh hàm</t>
  </si>
  <si>
    <t>200.000 đ/Hàm</t>
  </si>
  <si>
    <t>400.000 đ/Răng</t>
  </si>
  <si>
    <t>700.000 đ/Răng</t>
  </si>
  <si>
    <t>6 THÁNG</t>
  </si>
  <si>
    <t xml:space="preserve">Chế độ bảo hành: gắn lại răng trên hàm nếu bong tróc hay do lỗi kỹ thuật. </t>
  </si>
  <si>
    <t>khách hàng cũ nha khoa được giảm 10% nếu làm hàm mới tại nha khoa.</t>
  </si>
  <si>
    <t>Răng sứ kim loại Mỹ thủ công</t>
  </si>
  <si>
    <t>Răng sứ kim Loại Vita (Cad/Cam)</t>
  </si>
  <si>
    <t>1.200.000</t>
  </si>
  <si>
    <t>Răng sứ Cercon HT (Đức), ZoLID</t>
  </si>
  <si>
    <t>Inlay/Onlay (zirco)</t>
  </si>
  <si>
    <t xml:space="preserve">Inlay/Onlay sứ ép </t>
  </si>
  <si>
    <t>Chú ý: Tất cả các dòng sứ từ 3 triệu trở lên đều là dòng sứ chính hãng có thể check thông tin trên website</t>
  </si>
  <si>
    <t>Inlay/Onlay zirco</t>
  </si>
  <si>
    <t>13.000.000</t>
  </si>
  <si>
    <t>Giá có Sứ Adite 3D PRO (Đã bao gồm Abutment)</t>
  </si>
  <si>
    <t>35.000.000</t>
  </si>
  <si>
    <t>20 NĂM</t>
  </si>
  <si>
    <t>25.000.000</t>
  </si>
  <si>
    <t>2TR / Abutment SỨ</t>
  </si>
  <si>
    <t>CHẾ ĐỘ BẢO HÀNH: 2 năm đầu làm lại hoàn toàn miễn phí, 3-5 năm tính 20%. 6 năm trở lên làm tính 50%</t>
  </si>
  <si>
    <t>phải tái khám định kì đúng lịch hẹn. Kiểm tra răng vệ sinh răng miễn phí đến khi hết bảo hành. Tặng chụp phim combeamct 3D</t>
  </si>
  <si>
    <t>SAU 3 NĂM LÀM LẠI TÍNH 50%</t>
  </si>
  <si>
    <t>Trụ Implant: bảo hành 2 năm đầu miễn phí, 3-5 năm trở lên tính 20%, 6 năm trở lên tính 50%</t>
  </si>
  <si>
    <t xml:space="preserve">Trụ Implant: </t>
  </si>
  <si>
    <t>Bảo Hành : bảo hành 3 năm đầu miễn phí, 4-6 năm trở lên tính 20%, 7 năm trở lên tính 50%</t>
  </si>
  <si>
    <t>Trụ Implant: bảo hành 5 năm đầu miễn phí, 6-8 năm trở lên tính 20%, 9 năm trở lên tính 50%</t>
  </si>
  <si>
    <t>79.000.000</t>
  </si>
  <si>
    <t>179.000.000</t>
  </si>
  <si>
    <t>119.000.000</t>
  </si>
  <si>
    <t>219.000.000</t>
  </si>
  <si>
    <t>189.000.000</t>
  </si>
  <si>
    <t>249.000.000</t>
  </si>
  <si>
    <t>299.000.000</t>
  </si>
  <si>
    <t>Trụ Implant: 1  năm  Hàm nhựa: 3 năm  Hàm sứ: Bảo Hành Theo Trụ</t>
  </si>
  <si>
    <t>40-60tr/hàm (4 trụ / 6 trụ )</t>
  </si>
  <si>
    <t>100-120tr/hàm (4 trụ / 6 trụ)</t>
  </si>
  <si>
    <t>200.000 - 500.000/răng</t>
  </si>
  <si>
    <t>700.000 - 2.500.000/răng</t>
  </si>
  <si>
    <t>100.00-300.000/răng</t>
  </si>
  <si>
    <t>400.000 - 500.000/răng</t>
  </si>
  <si>
    <t>200.000-300.000/răng</t>
  </si>
  <si>
    <t>500.000-800.000/răng</t>
  </si>
  <si>
    <t>2.500.000</t>
  </si>
  <si>
    <t>nn vật liệu sinh học</t>
  </si>
  <si>
    <t>1.500.000/răng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</si>
</sst>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E17" sqref="E17"/>
    </sheetView>
  </sheetViews>
  <sheetFormatPr defaultRowHeight="14.4" x14ac:dyDescent="0.3"/>
  <cols>
    <col min="1" max="1" width="6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0</v>
      </c>
      <c r="B6" t="s">
        <v>1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>
        <v>800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>
        <v>500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69FD-6488-4419-A23E-93B2249386D3}">
  <dimension ref="A1:D26"/>
  <sheetViews>
    <sheetView topLeftCell="A19" workbookViewId="0">
      <selection activeCell="B25" sqref="B25"/>
    </sheetView>
  </sheetViews>
  <sheetFormatPr defaultRowHeight="14.4" x14ac:dyDescent="0.3"/>
  <cols>
    <col min="1" max="1" width="72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1" t="s">
        <v>24</v>
      </c>
      <c r="B2" s="1" t="s">
        <v>25</v>
      </c>
    </row>
    <row r="3" spans="1:3" x14ac:dyDescent="0.3">
      <c r="A3" s="1" t="s">
        <v>26</v>
      </c>
      <c r="B3" s="1" t="s">
        <v>264</v>
      </c>
    </row>
    <row r="4" spans="1:3" x14ac:dyDescent="0.3">
      <c r="A4" s="1" t="s">
        <v>27</v>
      </c>
      <c r="B4" s="1" t="s">
        <v>265</v>
      </c>
    </row>
    <row r="5" spans="1:3" x14ac:dyDescent="0.3">
      <c r="A5" s="1" t="s">
        <v>28</v>
      </c>
      <c r="B5" s="1" t="s">
        <v>29</v>
      </c>
    </row>
    <row r="6" spans="1:3" x14ac:dyDescent="0.3">
      <c r="A6" s="1" t="s">
        <v>0</v>
      </c>
      <c r="B6" s="1" t="s">
        <v>1</v>
      </c>
    </row>
    <row r="7" spans="1:3" x14ac:dyDescent="0.3">
      <c r="A7" s="1" t="s">
        <v>30</v>
      </c>
      <c r="B7" s="1" t="s">
        <v>31</v>
      </c>
      <c r="C7" t="s">
        <v>266</v>
      </c>
    </row>
    <row r="8" spans="1:3" x14ac:dyDescent="0.3">
      <c r="A8" s="1" t="s">
        <v>32</v>
      </c>
      <c r="B8" s="1" t="s">
        <v>267</v>
      </c>
    </row>
    <row r="9" spans="1:3" x14ac:dyDescent="0.3">
      <c r="A9" s="1" t="s">
        <v>34</v>
      </c>
      <c r="B9" s="1" t="s">
        <v>35</v>
      </c>
    </row>
    <row r="10" spans="1:3" x14ac:dyDescent="0.3">
      <c r="A10" s="1" t="s">
        <v>36</v>
      </c>
      <c r="B10" s="1" t="s">
        <v>268</v>
      </c>
    </row>
    <row r="11" spans="1:3" x14ac:dyDescent="0.3">
      <c r="A11" s="1" t="s">
        <v>38</v>
      </c>
      <c r="B11" s="1" t="s">
        <v>269</v>
      </c>
    </row>
    <row r="12" spans="1:3" x14ac:dyDescent="0.3">
      <c r="A12" s="1" t="s">
        <v>0</v>
      </c>
      <c r="B12" s="1" t="s">
        <v>1</v>
      </c>
    </row>
    <row r="13" spans="1:3" x14ac:dyDescent="0.3">
      <c r="A13" s="1" t="s">
        <v>40</v>
      </c>
      <c r="B13" s="1">
        <v>600</v>
      </c>
    </row>
    <row r="14" spans="1:3" x14ac:dyDescent="0.3">
      <c r="A14" s="1" t="s">
        <v>41</v>
      </c>
      <c r="B14" s="1" t="s">
        <v>43</v>
      </c>
    </row>
    <row r="15" spans="1:3" x14ac:dyDescent="0.3">
      <c r="A15" s="1" t="s">
        <v>42</v>
      </c>
      <c r="B15" s="1" t="s">
        <v>270</v>
      </c>
    </row>
    <row r="16" spans="1:3" x14ac:dyDescent="0.3">
      <c r="A16" s="1" t="s">
        <v>44</v>
      </c>
      <c r="B16" s="1"/>
    </row>
    <row r="17" spans="1:4" x14ac:dyDescent="0.3">
      <c r="A17" s="1" t="s">
        <v>45</v>
      </c>
      <c r="B17" s="1" t="s">
        <v>46</v>
      </c>
    </row>
    <row r="18" spans="1:4" x14ac:dyDescent="0.3">
      <c r="A18" s="1" t="s">
        <v>47</v>
      </c>
      <c r="B18" s="1" t="s">
        <v>37</v>
      </c>
    </row>
    <row r="19" spans="1:4" x14ac:dyDescent="0.3">
      <c r="A19" s="1" t="s">
        <v>0</v>
      </c>
      <c r="B19" s="1" t="s">
        <v>1</v>
      </c>
    </row>
    <row r="20" spans="1:4" x14ac:dyDescent="0.3">
      <c r="A20" s="1" t="s">
        <v>48</v>
      </c>
      <c r="B20" s="1" t="s">
        <v>51</v>
      </c>
      <c r="D20" t="s">
        <v>271</v>
      </c>
    </row>
    <row r="21" spans="1:4" x14ac:dyDescent="0.3">
      <c r="A21" s="1" t="s">
        <v>49</v>
      </c>
      <c r="B21" s="1" t="s">
        <v>51</v>
      </c>
    </row>
    <row r="22" spans="1:4" x14ac:dyDescent="0.3">
      <c r="A22" s="1" t="s">
        <v>50</v>
      </c>
      <c r="B22" s="1" t="s">
        <v>272</v>
      </c>
    </row>
    <row r="23" spans="1:4" x14ac:dyDescent="0.3">
      <c r="A23" s="1" t="s">
        <v>52</v>
      </c>
      <c r="B23" s="1" t="s">
        <v>53</v>
      </c>
    </row>
    <row r="24" spans="1:4" x14ac:dyDescent="0.3">
      <c r="A24" s="1" t="s">
        <v>54</v>
      </c>
      <c r="B24" s="1" t="s">
        <v>33</v>
      </c>
    </row>
    <row r="25" spans="1:4" x14ac:dyDescent="0.3">
      <c r="A25" s="1" t="s">
        <v>55</v>
      </c>
      <c r="B25" s="1">
        <v>500</v>
      </c>
    </row>
    <row r="26" spans="1:4" x14ac:dyDescent="0.3">
      <c r="A26" s="1" t="s">
        <v>56</v>
      </c>
      <c r="B26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BEA7-925F-459F-881B-252A400D802F}">
  <dimension ref="A1:D15"/>
  <sheetViews>
    <sheetView topLeftCell="B1" zoomScale="85" zoomScaleNormal="85" workbookViewId="0">
      <selection activeCell="D15" sqref="D15"/>
    </sheetView>
  </sheetViews>
  <sheetFormatPr defaultRowHeight="14.4" x14ac:dyDescent="0.3"/>
  <cols>
    <col min="1" max="1" width="83.33203125" customWidth="1"/>
    <col min="2" max="2" width="22.44140625" customWidth="1"/>
    <col min="3" max="3" width="21.33203125" customWidth="1"/>
    <col min="4" max="4" width="67.33203125" customWidth="1"/>
  </cols>
  <sheetData>
    <row r="1" spans="1:4" x14ac:dyDescent="0.3">
      <c r="A1" s="2" t="s">
        <v>57</v>
      </c>
      <c r="B1" s="2" t="s">
        <v>58</v>
      </c>
      <c r="C1" s="2" t="s">
        <v>59</v>
      </c>
      <c r="D1" s="2" t="s">
        <v>60</v>
      </c>
    </row>
    <row r="2" spans="1:4" x14ac:dyDescent="0.3">
      <c r="A2" s="2" t="s">
        <v>61</v>
      </c>
      <c r="B2" s="2" t="s">
        <v>62</v>
      </c>
      <c r="C2" s="2" t="s">
        <v>63</v>
      </c>
      <c r="D2" s="2" t="s">
        <v>64</v>
      </c>
    </row>
    <row r="3" spans="1:4" x14ac:dyDescent="0.3">
      <c r="A3" s="2" t="s">
        <v>65</v>
      </c>
      <c r="B3" s="2" t="s">
        <v>254</v>
      </c>
      <c r="C3" s="2" t="s">
        <v>74</v>
      </c>
      <c r="D3" s="2" t="s">
        <v>261</v>
      </c>
    </row>
    <row r="4" spans="1:4" x14ac:dyDescent="0.3">
      <c r="A4" s="2" t="s">
        <v>67</v>
      </c>
      <c r="B4" s="2" t="s">
        <v>68</v>
      </c>
      <c r="C4" s="2" t="s">
        <v>255</v>
      </c>
      <c r="D4" s="2" t="s">
        <v>249</v>
      </c>
    </row>
    <row r="5" spans="1:4" x14ac:dyDescent="0.3">
      <c r="A5" s="2" t="s">
        <v>57</v>
      </c>
      <c r="B5" s="2" t="s">
        <v>58</v>
      </c>
      <c r="C5" s="2" t="s">
        <v>59</v>
      </c>
      <c r="D5" s="2" t="s">
        <v>60</v>
      </c>
    </row>
    <row r="6" spans="1:4" x14ac:dyDescent="0.3">
      <c r="A6" s="2" t="s">
        <v>65</v>
      </c>
      <c r="B6" s="2" t="s">
        <v>256</v>
      </c>
      <c r="C6" s="2" t="s">
        <v>255</v>
      </c>
      <c r="D6" s="2" t="s">
        <v>250</v>
      </c>
    </row>
    <row r="7" spans="1:4" x14ac:dyDescent="0.3">
      <c r="A7" s="2" t="s">
        <v>67</v>
      </c>
      <c r="B7" s="2" t="s">
        <v>74</v>
      </c>
      <c r="C7" s="2" t="s">
        <v>257</v>
      </c>
      <c r="D7" s="2"/>
    </row>
    <row r="8" spans="1:4" x14ac:dyDescent="0.3">
      <c r="A8" s="2" t="s">
        <v>57</v>
      </c>
      <c r="B8" s="2" t="s">
        <v>58</v>
      </c>
      <c r="C8" s="2" t="s">
        <v>59</v>
      </c>
      <c r="D8" s="2" t="s">
        <v>252</v>
      </c>
    </row>
    <row r="9" spans="1:4" x14ac:dyDescent="0.3">
      <c r="A9" s="2" t="s">
        <v>69</v>
      </c>
      <c r="B9" s="2" t="s">
        <v>66</v>
      </c>
      <c r="C9" s="2" t="s">
        <v>258</v>
      </c>
      <c r="D9" s="2" t="s">
        <v>251</v>
      </c>
    </row>
    <row r="10" spans="1:4" x14ac:dyDescent="0.3">
      <c r="A10" s="2" t="s">
        <v>71</v>
      </c>
      <c r="B10" s="2" t="s">
        <v>255</v>
      </c>
      <c r="C10" s="2" t="s">
        <v>259</v>
      </c>
      <c r="D10" s="2"/>
    </row>
    <row r="11" spans="1:4" x14ac:dyDescent="0.3">
      <c r="A11" s="2" t="s">
        <v>57</v>
      </c>
      <c r="B11" s="2" t="s">
        <v>58</v>
      </c>
      <c r="C11" s="2" t="s">
        <v>59</v>
      </c>
      <c r="D11" s="2" t="s">
        <v>60</v>
      </c>
    </row>
    <row r="12" spans="1:4" x14ac:dyDescent="0.3">
      <c r="A12" s="2" t="s">
        <v>73</v>
      </c>
      <c r="B12" s="2" t="s">
        <v>70</v>
      </c>
      <c r="C12" s="2" t="s">
        <v>72</v>
      </c>
      <c r="D12" s="2" t="s">
        <v>253</v>
      </c>
    </row>
    <row r="13" spans="1:4" x14ac:dyDescent="0.3">
      <c r="A13" s="2" t="s">
        <v>75</v>
      </c>
      <c r="B13" s="2" t="s">
        <v>72</v>
      </c>
      <c r="C13" s="2" t="s">
        <v>260</v>
      </c>
      <c r="D13" s="2"/>
    </row>
    <row r="14" spans="1:4" x14ac:dyDescent="0.3">
      <c r="A14" s="2" t="s">
        <v>76</v>
      </c>
      <c r="B14" s="2"/>
      <c r="C14" s="2"/>
      <c r="D14" s="2" t="s">
        <v>262</v>
      </c>
    </row>
    <row r="15" spans="1:4" x14ac:dyDescent="0.3">
      <c r="A15" s="2" t="s">
        <v>77</v>
      </c>
      <c r="B15" s="2"/>
      <c r="C15" s="2"/>
      <c r="D15" s="2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26ED-0F46-4DA4-8FBB-B47A9B082F8D}">
  <dimension ref="A1:E20"/>
  <sheetViews>
    <sheetView topLeftCell="B13" zoomScaleNormal="100" workbookViewId="0">
      <selection activeCell="B20" sqref="B20"/>
    </sheetView>
  </sheetViews>
  <sheetFormatPr defaultRowHeight="14.4" x14ac:dyDescent="0.3"/>
  <cols>
    <col min="1" max="1" width="51" customWidth="1"/>
    <col min="2" max="2" width="41.5546875" customWidth="1"/>
    <col min="3" max="3" width="42.6640625" customWidth="1"/>
    <col min="4" max="4" width="46.33203125" customWidth="1"/>
    <col min="5" max="5" width="15.44140625" customWidth="1"/>
  </cols>
  <sheetData>
    <row r="1" spans="1:5" x14ac:dyDescent="0.3">
      <c r="A1" s="3" t="s">
        <v>78</v>
      </c>
      <c r="B1" s="3" t="s">
        <v>79</v>
      </c>
      <c r="C1" s="3"/>
      <c r="D1" s="3"/>
      <c r="E1" s="3"/>
    </row>
    <row r="2" spans="1:5" x14ac:dyDescent="0.3">
      <c r="A2" s="3" t="s">
        <v>80</v>
      </c>
      <c r="B2" s="3" t="s">
        <v>81</v>
      </c>
      <c r="C2" s="3" t="s">
        <v>82</v>
      </c>
      <c r="D2" s="3" t="s">
        <v>242</v>
      </c>
      <c r="E2" s="3" t="s">
        <v>84</v>
      </c>
    </row>
    <row r="3" spans="1:5" x14ac:dyDescent="0.3">
      <c r="A3" s="3" t="s">
        <v>85</v>
      </c>
      <c r="B3" s="3" t="s">
        <v>86</v>
      </c>
      <c r="C3" s="3" t="s">
        <v>241</v>
      </c>
      <c r="D3" s="3" t="s">
        <v>92</v>
      </c>
      <c r="E3" s="3" t="s">
        <v>87</v>
      </c>
    </row>
    <row r="4" spans="1:5" x14ac:dyDescent="0.3">
      <c r="A4" s="3" t="s">
        <v>88</v>
      </c>
      <c r="B4" s="3" t="s">
        <v>86</v>
      </c>
      <c r="C4" s="3" t="s">
        <v>241</v>
      </c>
      <c r="D4" s="3" t="s">
        <v>92</v>
      </c>
      <c r="E4" s="3" t="s">
        <v>87</v>
      </c>
    </row>
    <row r="5" spans="1:5" x14ac:dyDescent="0.3">
      <c r="A5" s="3" t="s">
        <v>89</v>
      </c>
      <c r="B5" s="3" t="s">
        <v>86</v>
      </c>
      <c r="C5" s="3" t="s">
        <v>241</v>
      </c>
      <c r="D5" s="3" t="s">
        <v>92</v>
      </c>
      <c r="E5" s="3" t="s">
        <v>87</v>
      </c>
    </row>
    <row r="6" spans="1:5" x14ac:dyDescent="0.3">
      <c r="A6" s="3" t="s">
        <v>80</v>
      </c>
      <c r="B6" s="3" t="s">
        <v>90</v>
      </c>
      <c r="C6" s="3" t="s">
        <v>83</v>
      </c>
      <c r="D6" s="3" t="s">
        <v>84</v>
      </c>
      <c r="E6" s="3"/>
    </row>
    <row r="7" spans="1:5" x14ac:dyDescent="0.3">
      <c r="A7" s="3" t="s">
        <v>91</v>
      </c>
      <c r="B7" s="3" t="s">
        <v>92</v>
      </c>
      <c r="C7" s="3" t="s">
        <v>93</v>
      </c>
      <c r="D7" s="3" t="s">
        <v>94</v>
      </c>
      <c r="E7" s="3"/>
    </row>
    <row r="8" spans="1:5" x14ac:dyDescent="0.3">
      <c r="A8" s="3" t="s">
        <v>95</v>
      </c>
      <c r="B8" s="3" t="s">
        <v>96</v>
      </c>
      <c r="C8" s="3" t="s">
        <v>97</v>
      </c>
      <c r="D8" s="3" t="s">
        <v>98</v>
      </c>
      <c r="E8" s="3"/>
    </row>
    <row r="9" spans="1:5" x14ac:dyDescent="0.3">
      <c r="A9" s="3" t="s">
        <v>80</v>
      </c>
      <c r="B9" s="3" t="s">
        <v>99</v>
      </c>
      <c r="C9" s="3" t="s">
        <v>83</v>
      </c>
      <c r="D9" s="3" t="s">
        <v>84</v>
      </c>
      <c r="E9" s="3"/>
    </row>
    <row r="10" spans="1:5" x14ac:dyDescent="0.3">
      <c r="A10" s="3" t="s">
        <v>100</v>
      </c>
      <c r="B10" s="3" t="s">
        <v>97</v>
      </c>
      <c r="C10" s="3" t="s">
        <v>245</v>
      </c>
      <c r="D10" s="3" t="s">
        <v>101</v>
      </c>
      <c r="E10" s="3"/>
    </row>
    <row r="11" spans="1:5" x14ac:dyDescent="0.3">
      <c r="A11" s="3" t="s">
        <v>102</v>
      </c>
      <c r="B11" s="3" t="s">
        <v>103</v>
      </c>
      <c r="C11" s="3" t="s">
        <v>243</v>
      </c>
      <c r="D11" s="3" t="s">
        <v>244</v>
      </c>
      <c r="E11" s="3"/>
    </row>
    <row r="12" spans="1:5" x14ac:dyDescent="0.3">
      <c r="A12" s="3" t="s">
        <v>104</v>
      </c>
      <c r="B12" s="3" t="s">
        <v>1</v>
      </c>
      <c r="C12" s="3" t="s">
        <v>105</v>
      </c>
      <c r="D12" s="3" t="s">
        <v>106</v>
      </c>
      <c r="E12" s="3"/>
    </row>
    <row r="13" spans="1:5" x14ac:dyDescent="0.3">
      <c r="A13" s="3" t="s">
        <v>107</v>
      </c>
      <c r="B13" s="3" t="s">
        <v>108</v>
      </c>
      <c r="C13" s="3" t="s">
        <v>109</v>
      </c>
      <c r="D13" s="3" t="s">
        <v>110</v>
      </c>
      <c r="E13" s="3"/>
    </row>
    <row r="14" spans="1:5" x14ac:dyDescent="0.3">
      <c r="A14" s="3" t="s">
        <v>111</v>
      </c>
      <c r="B14" s="3" t="s">
        <v>246</v>
      </c>
      <c r="C14" s="3" t="s">
        <v>112</v>
      </c>
      <c r="D14" s="3" t="s">
        <v>113</v>
      </c>
      <c r="E14" s="3"/>
    </row>
    <row r="15" spans="1:5" x14ac:dyDescent="0.3">
      <c r="A15" s="3" t="s">
        <v>114</v>
      </c>
      <c r="B15" s="3" t="s">
        <v>115</v>
      </c>
      <c r="C15" s="3" t="s">
        <v>116</v>
      </c>
      <c r="D15" s="3" t="s">
        <v>117</v>
      </c>
      <c r="E15" s="3"/>
    </row>
    <row r="16" spans="1:5" x14ac:dyDescent="0.3">
      <c r="A16" s="3" t="s">
        <v>118</v>
      </c>
      <c r="B16" s="3" t="s">
        <v>119</v>
      </c>
      <c r="C16" s="3" t="s">
        <v>120</v>
      </c>
      <c r="D16" s="3" t="s">
        <v>121</v>
      </c>
      <c r="E16" s="3"/>
    </row>
    <row r="17" spans="1:4" x14ac:dyDescent="0.3">
      <c r="A17" s="3" t="s">
        <v>122</v>
      </c>
      <c r="B17" s="3" t="s">
        <v>123</v>
      </c>
      <c r="C17" s="3" t="s">
        <v>124</v>
      </c>
      <c r="D17" s="3" t="s">
        <v>117</v>
      </c>
    </row>
    <row r="18" spans="1:4" x14ac:dyDescent="0.3">
      <c r="A18" s="3"/>
      <c r="B18" s="3"/>
      <c r="C18" s="3" t="s">
        <v>125</v>
      </c>
      <c r="D18" s="3" t="s">
        <v>126</v>
      </c>
    </row>
    <row r="19" spans="1:4" x14ac:dyDescent="0.3">
      <c r="B19" t="s">
        <v>247</v>
      </c>
    </row>
    <row r="20" spans="1:4" x14ac:dyDescent="0.3">
      <c r="B20" t="s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3BC3-7FE4-488D-BD2C-3BB2EEF743C7}">
  <dimension ref="A1:C20"/>
  <sheetViews>
    <sheetView workbookViewId="0">
      <selection activeCell="A11" sqref="A11"/>
    </sheetView>
  </sheetViews>
  <sheetFormatPr defaultRowHeight="14.4" x14ac:dyDescent="0.3"/>
  <cols>
    <col min="1" max="1" width="64.109375" customWidth="1"/>
    <col min="2" max="2" width="18" customWidth="1"/>
    <col min="3" max="3" width="13.44140625" customWidth="1"/>
  </cols>
  <sheetData>
    <row r="1" spans="1:3" x14ac:dyDescent="0.3">
      <c r="A1" s="4" t="s">
        <v>78</v>
      </c>
      <c r="B1" s="4"/>
      <c r="C1" s="4"/>
    </row>
    <row r="2" spans="1:3" x14ac:dyDescent="0.3">
      <c r="A2" s="4" t="s">
        <v>127</v>
      </c>
      <c r="B2" s="4"/>
      <c r="C2" s="4"/>
    </row>
    <row r="3" spans="1:3" x14ac:dyDescent="0.3">
      <c r="A3" s="4" t="s">
        <v>128</v>
      </c>
      <c r="B3" s="4"/>
      <c r="C3" s="4"/>
    </row>
    <row r="4" spans="1:3" x14ac:dyDescent="0.3">
      <c r="A4" s="4" t="s">
        <v>129</v>
      </c>
      <c r="B4" s="4"/>
      <c r="C4" s="4"/>
    </row>
    <row r="5" spans="1:3" x14ac:dyDescent="0.3">
      <c r="A5" s="4" t="s">
        <v>130</v>
      </c>
      <c r="B5" s="4" t="s">
        <v>131</v>
      </c>
      <c r="C5" s="4" t="s">
        <v>132</v>
      </c>
    </row>
    <row r="6" spans="1:3" x14ac:dyDescent="0.3">
      <c r="A6" s="4" t="s">
        <v>133</v>
      </c>
      <c r="B6" s="4" t="s">
        <v>92</v>
      </c>
      <c r="C6" s="4" t="s">
        <v>134</v>
      </c>
    </row>
    <row r="7" spans="1:3" x14ac:dyDescent="0.3">
      <c r="A7" s="4" t="s">
        <v>135</v>
      </c>
      <c r="B7" s="4" t="s">
        <v>86</v>
      </c>
      <c r="C7" s="4" t="s">
        <v>136</v>
      </c>
    </row>
    <row r="8" spans="1:3" x14ac:dyDescent="0.3">
      <c r="A8" s="4" t="s">
        <v>137</v>
      </c>
      <c r="B8" s="4"/>
      <c r="C8" s="4"/>
    </row>
    <row r="9" spans="1:3" x14ac:dyDescent="0.3">
      <c r="A9" s="4" t="s">
        <v>130</v>
      </c>
      <c r="B9" s="4" t="s">
        <v>131</v>
      </c>
      <c r="C9" s="4" t="s">
        <v>132</v>
      </c>
    </row>
    <row r="10" spans="1:3" x14ac:dyDescent="0.3">
      <c r="A10" s="4" t="s">
        <v>138</v>
      </c>
      <c r="B10" s="4" t="s">
        <v>139</v>
      </c>
      <c r="C10" s="4" t="s">
        <v>140</v>
      </c>
    </row>
    <row r="11" spans="1:3" x14ac:dyDescent="0.3">
      <c r="A11" s="4" t="s">
        <v>141</v>
      </c>
      <c r="B11" s="4" t="s">
        <v>142</v>
      </c>
      <c r="C11" s="4" t="s">
        <v>143</v>
      </c>
    </row>
    <row r="12" spans="1:3" x14ac:dyDescent="0.3">
      <c r="A12" s="4" t="s">
        <v>144</v>
      </c>
      <c r="B12" s="4" t="s">
        <v>145</v>
      </c>
      <c r="C12" s="4" t="s">
        <v>143</v>
      </c>
    </row>
    <row r="13" spans="1:3" x14ac:dyDescent="0.3">
      <c r="A13" s="4" t="s">
        <v>146</v>
      </c>
      <c r="B13" s="4" t="s">
        <v>147</v>
      </c>
      <c r="C13" s="4" t="s">
        <v>148</v>
      </c>
    </row>
    <row r="14" spans="1:3" x14ac:dyDescent="0.3">
      <c r="A14" s="4" t="s">
        <v>149</v>
      </c>
      <c r="B14" s="4" t="s">
        <v>150</v>
      </c>
      <c r="C14" s="4" t="s">
        <v>151</v>
      </c>
    </row>
    <row r="15" spans="1:3" x14ac:dyDescent="0.3">
      <c r="A15" s="4" t="s">
        <v>152</v>
      </c>
      <c r="B15" s="4"/>
      <c r="C15" s="4"/>
    </row>
    <row r="16" spans="1:3" x14ac:dyDescent="0.3">
      <c r="A16" s="4" t="s">
        <v>130</v>
      </c>
      <c r="B16" s="4" t="s">
        <v>131</v>
      </c>
      <c r="C16" s="4"/>
    </row>
    <row r="17" spans="1:2" x14ac:dyDescent="0.3">
      <c r="A17" s="4" t="s">
        <v>153</v>
      </c>
      <c r="B17" s="4" t="s">
        <v>139</v>
      </c>
    </row>
    <row r="18" spans="1:2" x14ac:dyDescent="0.3">
      <c r="A18" s="4" t="s">
        <v>154</v>
      </c>
      <c r="B18" s="4" t="s">
        <v>142</v>
      </c>
    </row>
    <row r="19" spans="1:2" x14ac:dyDescent="0.3">
      <c r="A19" s="4" t="s">
        <v>155</v>
      </c>
      <c r="B19" s="4" t="s">
        <v>145</v>
      </c>
    </row>
    <row r="20" spans="1:2" x14ac:dyDescent="0.3">
      <c r="A20" s="4" t="s">
        <v>240</v>
      </c>
      <c r="B20" s="4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E465-282B-4383-9CE4-19F2C2D91BC0}">
  <dimension ref="A1:E29"/>
  <sheetViews>
    <sheetView tabSelected="1" workbookViewId="0">
      <selection activeCell="A25" sqref="A25"/>
    </sheetView>
  </sheetViews>
  <sheetFormatPr defaultRowHeight="14.4" x14ac:dyDescent="0.3"/>
  <cols>
    <col min="1" max="1" width="74.33203125" customWidth="1"/>
    <col min="2" max="2" width="25.88671875" customWidth="1"/>
    <col min="3" max="3" width="23.88671875" customWidth="1"/>
    <col min="4" max="4" width="27.44140625" customWidth="1"/>
  </cols>
  <sheetData>
    <row r="1" spans="1:4" x14ac:dyDescent="0.3">
      <c r="A1" s="5" t="s">
        <v>78</v>
      </c>
      <c r="B1" s="5"/>
      <c r="C1" s="5"/>
      <c r="D1" s="5"/>
    </row>
    <row r="2" spans="1:4" x14ac:dyDescent="0.3">
      <c r="A2" s="5" t="s">
        <v>156</v>
      </c>
      <c r="B2" s="5"/>
      <c r="C2" s="5"/>
      <c r="D2" s="5"/>
    </row>
    <row r="3" spans="1:4" x14ac:dyDescent="0.3">
      <c r="A3" s="5" t="s">
        <v>130</v>
      </c>
      <c r="B3" s="5" t="s">
        <v>157</v>
      </c>
      <c r="C3" s="5" t="s">
        <v>131</v>
      </c>
      <c r="D3" s="5" t="s">
        <v>132</v>
      </c>
    </row>
    <row r="4" spans="1:4" x14ac:dyDescent="0.3">
      <c r="A4" s="5" t="s">
        <v>233</v>
      </c>
      <c r="B4" s="5"/>
      <c r="C4" s="5">
        <v>800</v>
      </c>
      <c r="D4" s="5" t="s">
        <v>158</v>
      </c>
    </row>
    <row r="5" spans="1:4" x14ac:dyDescent="0.3">
      <c r="A5" s="5" t="s">
        <v>234</v>
      </c>
      <c r="B5" s="5"/>
      <c r="C5" s="5" t="s">
        <v>235</v>
      </c>
      <c r="D5" s="5" t="s">
        <v>159</v>
      </c>
    </row>
    <row r="6" spans="1:4" x14ac:dyDescent="0.3">
      <c r="A6" s="5" t="s">
        <v>160</v>
      </c>
      <c r="B6" s="5"/>
      <c r="C6" s="5" t="s">
        <v>43</v>
      </c>
      <c r="D6" s="5" t="s">
        <v>87</v>
      </c>
    </row>
    <row r="7" spans="1:4" x14ac:dyDescent="0.3">
      <c r="A7" s="5" t="s">
        <v>161</v>
      </c>
      <c r="B7" s="5" t="s">
        <v>162</v>
      </c>
      <c r="C7" s="5" t="s">
        <v>131</v>
      </c>
      <c r="D7" s="5" t="s">
        <v>132</v>
      </c>
    </row>
    <row r="8" spans="1:4" x14ac:dyDescent="0.3">
      <c r="A8" s="5" t="s">
        <v>163</v>
      </c>
      <c r="B8" s="5"/>
      <c r="C8" s="5" t="s">
        <v>150</v>
      </c>
      <c r="D8" s="5" t="s">
        <v>164</v>
      </c>
    </row>
    <row r="9" spans="1:4" x14ac:dyDescent="0.3">
      <c r="A9" s="5"/>
      <c r="B9" s="5"/>
      <c r="C9" s="5"/>
      <c r="D9" s="5"/>
    </row>
    <row r="10" spans="1:4" x14ac:dyDescent="0.3">
      <c r="A10" s="5" t="s">
        <v>165</v>
      </c>
      <c r="B10" s="5"/>
      <c r="C10" s="5" t="s">
        <v>147</v>
      </c>
      <c r="D10" s="5" t="s">
        <v>94</v>
      </c>
    </row>
    <row r="11" spans="1:4" x14ac:dyDescent="0.3">
      <c r="A11" s="5" t="s">
        <v>236</v>
      </c>
      <c r="B11" s="5"/>
      <c r="C11" s="5" t="s">
        <v>145</v>
      </c>
      <c r="D11" s="5" t="s">
        <v>98</v>
      </c>
    </row>
    <row r="12" spans="1:4" x14ac:dyDescent="0.3">
      <c r="A12" s="5" t="s">
        <v>166</v>
      </c>
      <c r="B12" s="5" t="s">
        <v>131</v>
      </c>
      <c r="C12" s="5" t="s">
        <v>132</v>
      </c>
      <c r="D12" s="5"/>
    </row>
    <row r="13" spans="1:4" x14ac:dyDescent="0.3">
      <c r="A13" s="5" t="s">
        <v>167</v>
      </c>
      <c r="B13" s="5" t="s">
        <v>147</v>
      </c>
      <c r="C13" s="5" t="s">
        <v>94</v>
      </c>
      <c r="D13" s="5"/>
    </row>
    <row r="14" spans="1:4" x14ac:dyDescent="0.3">
      <c r="A14" s="5" t="s">
        <v>168</v>
      </c>
      <c r="B14" s="5" t="s">
        <v>142</v>
      </c>
      <c r="C14" s="5" t="s">
        <v>98</v>
      </c>
      <c r="D14" s="5"/>
    </row>
    <row r="15" spans="1:4" x14ac:dyDescent="0.3">
      <c r="A15" s="5" t="s">
        <v>169</v>
      </c>
      <c r="B15" s="5" t="s">
        <v>131</v>
      </c>
      <c r="C15" s="5" t="s">
        <v>132</v>
      </c>
      <c r="D15" s="5"/>
    </row>
    <row r="16" spans="1:4" x14ac:dyDescent="0.3">
      <c r="A16" s="5" t="s">
        <v>170</v>
      </c>
      <c r="B16" s="5" t="s">
        <v>139</v>
      </c>
      <c r="C16" s="5" t="s">
        <v>171</v>
      </c>
      <c r="D16" s="5"/>
    </row>
    <row r="17" spans="1:5" x14ac:dyDescent="0.3">
      <c r="A17" s="5" t="s">
        <v>172</v>
      </c>
      <c r="B17" s="5" t="s">
        <v>86</v>
      </c>
      <c r="C17" s="5" t="s">
        <v>173</v>
      </c>
      <c r="D17" s="5"/>
      <c r="E17" s="5"/>
    </row>
    <row r="18" spans="1:5" x14ac:dyDescent="0.3">
      <c r="A18" s="5" t="s">
        <v>130</v>
      </c>
      <c r="B18" s="5" t="s">
        <v>174</v>
      </c>
      <c r="C18" s="5" t="s">
        <v>131</v>
      </c>
      <c r="D18" s="5" t="s">
        <v>175</v>
      </c>
      <c r="E18" s="5" t="s">
        <v>132</v>
      </c>
    </row>
    <row r="19" spans="1:5" x14ac:dyDescent="0.3">
      <c r="A19" s="5" t="s">
        <v>238</v>
      </c>
      <c r="B19" s="5" t="s">
        <v>145</v>
      </c>
      <c r="C19" s="5" t="s">
        <v>176</v>
      </c>
      <c r="D19" s="5" t="s">
        <v>98</v>
      </c>
      <c r="E19" s="5"/>
    </row>
    <row r="20" spans="1:5" x14ac:dyDescent="0.3">
      <c r="A20" s="5" t="s">
        <v>177</v>
      </c>
      <c r="B20" s="5" t="s">
        <v>178</v>
      </c>
      <c r="C20" s="5" t="s">
        <v>179</v>
      </c>
      <c r="D20" s="5" t="s">
        <v>98</v>
      </c>
      <c r="E20" s="5"/>
    </row>
    <row r="21" spans="1:5" x14ac:dyDescent="0.3">
      <c r="A21" s="5" t="s">
        <v>180</v>
      </c>
      <c r="B21" s="5" t="s">
        <v>142</v>
      </c>
      <c r="C21" s="5" t="s">
        <v>181</v>
      </c>
      <c r="D21" s="5" t="s">
        <v>98</v>
      </c>
      <c r="E21" s="5"/>
    </row>
    <row r="22" spans="1:5" x14ac:dyDescent="0.3">
      <c r="A22" s="5" t="s">
        <v>182</v>
      </c>
      <c r="B22" s="5" t="s">
        <v>142</v>
      </c>
      <c r="C22" s="5" t="s">
        <v>183</v>
      </c>
      <c r="D22" s="5" t="s">
        <v>98</v>
      </c>
      <c r="E22" s="5"/>
    </row>
    <row r="23" spans="1:5" x14ac:dyDescent="0.3">
      <c r="A23" s="5" t="s">
        <v>153</v>
      </c>
      <c r="B23" s="5" t="s">
        <v>139</v>
      </c>
      <c r="C23" s="5" t="s">
        <v>184</v>
      </c>
      <c r="D23" s="5" t="s">
        <v>171</v>
      </c>
      <c r="E23" s="5"/>
    </row>
    <row r="24" spans="1:5" x14ac:dyDescent="0.3">
      <c r="A24" s="5" t="s">
        <v>237</v>
      </c>
      <c r="B24" s="5" t="s">
        <v>147</v>
      </c>
      <c r="C24" s="5" t="s">
        <v>176</v>
      </c>
      <c r="D24" s="5" t="s">
        <v>158</v>
      </c>
      <c r="E24" s="5"/>
    </row>
    <row r="25" spans="1:5" x14ac:dyDescent="0.3">
      <c r="A25" s="5" t="s">
        <v>239</v>
      </c>
      <c r="B25" s="5"/>
      <c r="C25" s="5"/>
      <c r="D25" s="5"/>
      <c r="E25" s="5"/>
    </row>
    <row r="26" spans="1:5" x14ac:dyDescent="0.3">
      <c r="A26" s="5" t="s">
        <v>185</v>
      </c>
      <c r="B26" s="5"/>
      <c r="C26" s="5"/>
      <c r="D26" s="5"/>
      <c r="E26" s="5"/>
    </row>
    <row r="27" spans="1:5" x14ac:dyDescent="0.3">
      <c r="A27" s="5" t="s">
        <v>186</v>
      </c>
      <c r="B27" s="5"/>
      <c r="C27" s="5"/>
      <c r="D27" s="5"/>
      <c r="E27" s="5"/>
    </row>
    <row r="28" spans="1:5" x14ac:dyDescent="0.3">
      <c r="A28" s="5" t="s">
        <v>187</v>
      </c>
      <c r="B28" s="5"/>
      <c r="C28" s="5"/>
      <c r="D28" s="5"/>
      <c r="E28" s="5"/>
    </row>
    <row r="29" spans="1:5" x14ac:dyDescent="0.3">
      <c r="A29" s="5" t="s">
        <v>188</v>
      </c>
      <c r="B29" s="5"/>
      <c r="C29" s="5"/>
      <c r="D29" s="5"/>
      <c r="E2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8034-DE14-4BDB-9A1C-25B1B87D6C25}">
  <dimension ref="A1:C26"/>
  <sheetViews>
    <sheetView topLeftCell="A19" workbookViewId="0">
      <selection activeCell="A26" sqref="A26"/>
    </sheetView>
  </sheetViews>
  <sheetFormatPr defaultRowHeight="14.4" x14ac:dyDescent="0.3"/>
  <cols>
    <col min="1" max="1" width="36" customWidth="1"/>
    <col min="2" max="2" width="14.5546875" customWidth="1"/>
    <col min="3" max="3" width="25.44140625" customWidth="1"/>
  </cols>
  <sheetData>
    <row r="1" spans="1:3" x14ac:dyDescent="0.3">
      <c r="A1" s="6" t="s">
        <v>189</v>
      </c>
      <c r="B1" s="6" t="s">
        <v>60</v>
      </c>
      <c r="C1" s="6" t="s">
        <v>1</v>
      </c>
    </row>
    <row r="2" spans="1:3" x14ac:dyDescent="0.3">
      <c r="A2" s="6" t="s">
        <v>190</v>
      </c>
      <c r="B2" s="6"/>
      <c r="C2" s="6" t="s">
        <v>191</v>
      </c>
    </row>
    <row r="3" spans="1:3" x14ac:dyDescent="0.3">
      <c r="A3" s="6" t="s">
        <v>192</v>
      </c>
      <c r="B3" s="6"/>
      <c r="C3" s="6" t="s">
        <v>228</v>
      </c>
    </row>
    <row r="4" spans="1:3" x14ac:dyDescent="0.3">
      <c r="A4" s="6" t="s">
        <v>193</v>
      </c>
      <c r="B4" s="6" t="s">
        <v>230</v>
      </c>
      <c r="C4" s="6" t="s">
        <v>229</v>
      </c>
    </row>
    <row r="5" spans="1:3" x14ac:dyDescent="0.3">
      <c r="A5" s="6"/>
      <c r="B5" s="6"/>
      <c r="C5" s="6"/>
    </row>
    <row r="6" spans="1:3" x14ac:dyDescent="0.3">
      <c r="A6" s="6" t="s">
        <v>194</v>
      </c>
      <c r="B6" s="6" t="s">
        <v>195</v>
      </c>
      <c r="C6" s="6" t="s">
        <v>196</v>
      </c>
    </row>
    <row r="7" spans="1:3" x14ac:dyDescent="0.3">
      <c r="A7" s="6" t="s">
        <v>197</v>
      </c>
      <c r="B7" s="6" t="s">
        <v>198</v>
      </c>
      <c r="C7" s="6" t="s">
        <v>199</v>
      </c>
    </row>
    <row r="8" spans="1:3" x14ac:dyDescent="0.3">
      <c r="A8" s="6" t="s">
        <v>200</v>
      </c>
      <c r="B8" s="6"/>
      <c r="C8" s="6" t="s">
        <v>201</v>
      </c>
    </row>
    <row r="9" spans="1:3" x14ac:dyDescent="0.3">
      <c r="A9" s="6" t="s">
        <v>202</v>
      </c>
      <c r="B9" s="6"/>
      <c r="C9" s="6" t="s">
        <v>203</v>
      </c>
    </row>
    <row r="10" spans="1:3" x14ac:dyDescent="0.3">
      <c r="A10" s="6" t="s">
        <v>204</v>
      </c>
      <c r="B10" s="6"/>
      <c r="C10" s="6" t="s">
        <v>205</v>
      </c>
    </row>
    <row r="11" spans="1:3" x14ac:dyDescent="0.3">
      <c r="A11" s="6" t="s">
        <v>206</v>
      </c>
      <c r="B11" s="6"/>
      <c r="C11" s="6" t="s">
        <v>205</v>
      </c>
    </row>
    <row r="12" spans="1:3" x14ac:dyDescent="0.3">
      <c r="A12" s="6" t="s">
        <v>207</v>
      </c>
      <c r="B12" s="6"/>
      <c r="C12" s="6" t="s">
        <v>208</v>
      </c>
    </row>
    <row r="13" spans="1:3" x14ac:dyDescent="0.3">
      <c r="A13" s="6" t="s">
        <v>209</v>
      </c>
      <c r="B13" s="6"/>
      <c r="C13" s="6" t="s">
        <v>210</v>
      </c>
    </row>
    <row r="14" spans="1:3" x14ac:dyDescent="0.3">
      <c r="A14" s="6" t="s">
        <v>211</v>
      </c>
      <c r="B14" s="6"/>
      <c r="C14" s="6" t="s">
        <v>196</v>
      </c>
    </row>
    <row r="15" spans="1:3" x14ac:dyDescent="0.3">
      <c r="A15" s="6" t="s">
        <v>212</v>
      </c>
      <c r="B15" s="6"/>
      <c r="C15" s="6" t="s">
        <v>213</v>
      </c>
    </row>
    <row r="16" spans="1:3" x14ac:dyDescent="0.3">
      <c r="A16" s="6" t="s">
        <v>214</v>
      </c>
      <c r="B16" s="6"/>
      <c r="C16" s="6" t="s">
        <v>215</v>
      </c>
    </row>
    <row r="17" spans="1:3" x14ac:dyDescent="0.3">
      <c r="A17" s="6" t="s">
        <v>216</v>
      </c>
      <c r="B17" s="6"/>
      <c r="C17" s="6" t="s">
        <v>217</v>
      </c>
    </row>
    <row r="18" spans="1:3" x14ac:dyDescent="0.3">
      <c r="A18" s="6" t="s">
        <v>218</v>
      </c>
      <c r="B18" s="6"/>
      <c r="C18" s="6" t="s">
        <v>219</v>
      </c>
    </row>
    <row r="19" spans="1:3" x14ac:dyDescent="0.3">
      <c r="A19" s="6" t="s">
        <v>220</v>
      </c>
      <c r="B19" s="6"/>
      <c r="C19" s="6" t="s">
        <v>221</v>
      </c>
    </row>
    <row r="20" spans="1:3" x14ac:dyDescent="0.3">
      <c r="A20" s="6" t="s">
        <v>222</v>
      </c>
      <c r="B20" s="6"/>
      <c r="C20" s="6" t="s">
        <v>223</v>
      </c>
    </row>
    <row r="21" spans="1:3" x14ac:dyDescent="0.3">
      <c r="A21" s="6"/>
      <c r="B21" s="6"/>
      <c r="C21" s="6"/>
    </row>
    <row r="22" spans="1:3" x14ac:dyDescent="0.3">
      <c r="A22" s="6" t="s">
        <v>224</v>
      </c>
      <c r="B22" s="6"/>
      <c r="C22" s="6" t="s">
        <v>225</v>
      </c>
    </row>
    <row r="23" spans="1:3" x14ac:dyDescent="0.3">
      <c r="A23" s="6" t="s">
        <v>226</v>
      </c>
      <c r="B23" s="6"/>
      <c r="C23" s="6" t="s">
        <v>227</v>
      </c>
    </row>
    <row r="24" spans="1:3" x14ac:dyDescent="0.3">
      <c r="A24" t="s">
        <v>231</v>
      </c>
    </row>
    <row r="25" spans="1:3" x14ac:dyDescent="0.3">
      <c r="A25" t="e">
        <f>-chỉnh cộm, đau ,cấn. Trong thời gian bảo hành thay răng miễn phí nếu răng bị mẻ</f>
        <v>#NAME?</v>
      </c>
    </row>
    <row r="26" spans="1:3" x14ac:dyDescent="0.3">
      <c r="A2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</vt:lpstr>
      <vt:lpstr>Sheet1</vt:lpstr>
      <vt:lpstr>Sheet2</vt:lpstr>
      <vt:lpstr>Sheet3</vt:lpstr>
      <vt:lpstr>Sheet4</vt:lpstr>
      <vt:lpstr>Sheet5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Nha Khoa THANH TRIEU</cp:lastModifiedBy>
  <dcterms:created xsi:type="dcterms:W3CDTF">2026-03-21T09:17:54Z</dcterms:created>
  <dcterms:modified xsi:type="dcterms:W3CDTF">2026-07-02T06:15:20Z</dcterms:modified>
  <cp:category/>
</cp:coreProperties>
</file>